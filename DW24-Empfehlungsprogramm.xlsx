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" sheetId="1" state="visible" r:id="rId1"/>
    <sheet name="Empfehlungen" sheetId="2" state="visible" r:id="rId2"/>
    <sheet name="Auszahlungen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1A2E"/>
      <sz val="24"/>
    </font>
    <font>
      <name val="Calibri"/>
      <color rgb="0064748B"/>
      <sz val="12"/>
    </font>
    <font>
      <name val="Calibri"/>
      <b val="1"/>
      <color rgb="00FF8C00"/>
      <sz val="28"/>
    </font>
    <font>
      <name val="Calibri"/>
      <b val="1"/>
      <color rgb="001A1A2E"/>
      <sz val="16"/>
    </font>
    <font>
      <b val="1"/>
      <color rgb="00FFFFFF"/>
      <sz val="11"/>
    </font>
    <font>
      <b val="1"/>
      <color rgb="00FF8C00"/>
      <sz val="14"/>
    </font>
    <font>
      <b val="1"/>
      <sz val="12"/>
    </font>
    <font>
      <i val="1"/>
      <color rgb="0094A3B8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  <sz val="10"/>
      </font>
      <fill>
        <patternFill patternType="solid">
          <fgColor rgb="0022C55E"/>
          <bgColor rgb="0022C55E"/>
        </patternFill>
      </fill>
    </dxf>
    <dxf>
      <font>
        <b val="1"/>
      </font>
      <fill>
        <patternFill patternType="solid">
          <fgColor rgb="00F59E0B"/>
          <bgColor rgb="00F59E0B"/>
        </patternFill>
      </fill>
    </dxf>
    <dxf>
      <font>
        <b val="1"/>
        <color rgb="00FFFFFF"/>
        <sz val="10"/>
      </font>
      <fill>
        <patternFill patternType="solid">
          <fgColor rgb="00EF4444"/>
          <bgColor rgb="00EF4444"/>
        </patternFill>
      </fill>
    </dxf>
    <dxf>
      <font>
        <b val="1"/>
        <color rgb="00FFFFFF"/>
        <sz val="10"/>
      </font>
      <fill>
        <patternFill patternType="solid">
          <fgColor rgb="003B82F6"/>
          <bgColor rgb="003B82F6"/>
        </patternFill>
      </fill>
    </dxf>
    <dxf>
      <font>
        <b val="1"/>
      </font>
      <fill>
        <patternFill patternType="solid">
          <fgColor rgb="00FB923C"/>
          <bgColor rgb="00FB92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  <col width="15" customWidth="1" min="10" max="10"/>
    <col width="14" customWidth="1" min="11" max="11"/>
    <col width="14" customWidth="1" min="12" max="12"/>
    <col width="23" customWidth="1" min="13" max="13"/>
    <col width="23" customWidth="1" min="14" max="14"/>
    <col width="24" customWidth="1" min="15" max="15"/>
    <col width="25" customWidth="1" min="16" max="16"/>
    <col width="24" customWidth="1" min="17" max="17"/>
    <col hidden="1" width="14" customWidth="1" min="18" max="18"/>
    <col hidden="1" width="14" customWidth="1" min="19" max="19"/>
    <col hidden="1" width="20" customWidth="1" min="20" max="20"/>
    <col width="30" customWidth="1" min="21" max="21"/>
  </cols>
  <sheetData>
    <row r="1">
      <c r="A1" s="1" t="inlineStr">
        <is>
          <t>Partner-ID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E-Mail</t>
        </is>
      </c>
      <c r="E1" s="1" t="inlineStr">
        <is>
          <t>Telefon</t>
        </is>
      </c>
      <c r="F1" s="1" t="inlineStr">
        <is>
          <t>Empfehlungscode</t>
        </is>
      </c>
      <c r="G1" s="1" t="inlineStr">
        <is>
          <t>Status</t>
        </is>
      </c>
      <c r="H1" s="1" t="inlineStr">
        <is>
          <t>Registrierung am</t>
        </is>
      </c>
      <c r="I1" s="1" t="inlineStr">
        <is>
          <t>Double-Opt-In am</t>
        </is>
      </c>
      <c r="J1" s="1" t="inlineStr">
        <is>
          <t>DSE-Version</t>
        </is>
      </c>
      <c r="K1" s="1" t="inlineStr">
        <is>
          <t>TB-Version</t>
        </is>
      </c>
      <c r="L1" s="1" t="inlineStr">
        <is>
          <t>Consent-IP</t>
        </is>
      </c>
      <c r="M1" s="1" t="inlineStr">
        <is>
          <t>Anzahl Empfehlungen</t>
        </is>
      </c>
      <c r="N1" s="1" t="inlineStr">
        <is>
          <t>Davon abgeschlossen</t>
        </is>
      </c>
      <c r="O1" s="1" t="inlineStr">
        <is>
          <t>Offene Provision (€)</t>
        </is>
      </c>
      <c r="P1" s="1" t="inlineStr">
        <is>
          <t>Ausgezahlte Prov. (€)</t>
        </is>
      </c>
      <c r="Q1" s="1" t="inlineStr">
        <is>
          <t>Gesamt-Provision (€)</t>
        </is>
      </c>
      <c r="R1" s="1" t="inlineStr">
        <is>
          <t>IBAN</t>
        </is>
      </c>
      <c r="S1" s="1" t="inlineStr">
        <is>
          <t>PayPal</t>
        </is>
      </c>
      <c r="T1" s="1" t="inlineStr">
        <is>
          <t>Steuernr./USt-ID</t>
        </is>
      </c>
      <c r="U1" s="1" t="inlineStr">
        <is>
          <t>Notizen</t>
        </is>
      </c>
    </row>
    <row r="2">
      <c r="A2" s="2" t="inlineStr">
        <is>
          <t>DW24-ANNA01</t>
        </is>
      </c>
      <c r="B2" s="2" t="inlineStr">
        <is>
          <t>Anna</t>
        </is>
      </c>
      <c r="C2" s="2" t="inlineStr">
        <is>
          <t>Müller</t>
        </is>
      </c>
      <c r="D2" s="2" t="inlineStr">
        <is>
          <t>anna@example.com</t>
        </is>
      </c>
      <c r="E2" s="2" t="inlineStr">
        <is>
          <t>+49 170 1234567</t>
        </is>
      </c>
      <c r="F2" s="2" t="inlineStr">
        <is>
          <t>DW24-ANNA01</t>
        </is>
      </c>
      <c r="G2" s="2" t="inlineStr">
        <is>
          <t>Aktiv</t>
        </is>
      </c>
      <c r="H2" s="2" t="inlineStr">
        <is>
          <t>03.03.2026</t>
        </is>
      </c>
      <c r="I2" s="2" t="inlineStr">
        <is>
          <t>03.03.2026</t>
        </is>
      </c>
      <c r="J2" s="2" t="inlineStr">
        <is>
          <t>v1.0</t>
        </is>
      </c>
      <c r="K2" s="2" t="inlineStr">
        <is>
          <t>v1.0</t>
        </is>
      </c>
      <c r="L2" s="2" t="inlineStr">
        <is>
          <t>192.168.1.1</t>
        </is>
      </c>
      <c r="M2" s="2">
        <f>COUNTIF(Empfehlungen!B:B,F2)</f>
        <v/>
      </c>
      <c r="N2" s="2">
        <f>COUNTIFS(Empfehlungen!B:B,F2,Empfehlungen!J:J,"Abgeschlossen")</f>
        <v/>
      </c>
      <c r="O2" s="3">
        <f>COUNTIFS(Empfehlungen!B:B,F2,Empfehlungen!M:M,"Ja",Empfehlungen!N:N,"Nein")*199</f>
        <v/>
      </c>
      <c r="P2" s="3">
        <f>SUMPRODUCT((Auszahlungen!B:B=F2)*Auszahlungen!E:E)</f>
        <v/>
      </c>
      <c r="Q2" s="3">
        <f>O2+P2</f>
        <v/>
      </c>
      <c r="R2" s="2" t="n"/>
      <c r="S2" s="2" t="n"/>
      <c r="T2" s="2" t="n"/>
      <c r="U2" s="2" t="n"/>
    </row>
  </sheetData>
  <conditionalFormatting sqref="G2:G1000">
    <cfRule type="cellIs" priority="1" operator="equal" dxfId="0">
      <formula>"Aktiv"</formula>
    </cfRule>
    <cfRule type="cellIs" priority="2" operator="equal" dxfId="1">
      <formula>"Pausiert"</formula>
    </cfRule>
    <cfRule type="cellIs" priority="3" operator="equal" dxfId="2">
      <formula>"Gekündigt"</formula>
    </cfRule>
  </conditionalFormatting>
  <dataValidations count="1">
    <dataValidation sqref="G2:G1000" showDropDown="0" showInputMessage="0" showErrorMessage="0" allowBlank="0" errorTitle="Ungültiger Status" error="Bitte wähle: Aktiv, Pausiert oder Gekündigt" type="list">
      <formula1>"Aktiv,Pausiert,Gekündigt"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6" customWidth="1" min="3" max="3"/>
    <col width="22" customWidth="1" min="4" max="4"/>
    <col width="22" customWidth="1" min="5" max="5"/>
    <col width="26" customWidth="1" min="6" max="6"/>
    <col width="23" customWidth="1" min="7" max="7"/>
    <col width="18" customWidth="1" min="8" max="8"/>
    <col width="16" customWidth="1" min="9" max="9"/>
    <col width="14" customWidth="1" min="10" max="10"/>
    <col width="22" customWidth="1" min="11" max="11"/>
    <col width="20" customWidth="1" min="12" max="12"/>
    <col width="20" customWidth="1" min="13" max="13"/>
    <col width="24" customWidth="1" min="14" max="14"/>
    <col width="30" customWidth="1" min="15" max="15"/>
  </cols>
  <sheetData>
    <row r="1">
      <c r="A1" s="1" t="inlineStr">
        <is>
          <t>Empfehlungs-ID</t>
        </is>
      </c>
      <c r="B1" s="1" t="inlineStr">
        <is>
          <t>Empfehlungscode</t>
        </is>
      </c>
      <c r="C1" s="1" t="inlineStr">
        <is>
          <t>Partner-Name</t>
        </is>
      </c>
      <c r="D1" s="1" t="inlineStr">
        <is>
          <t>Empfohlener Name</t>
        </is>
      </c>
      <c r="E1" s="1" t="inlineStr">
        <is>
          <t>Empfohlene Firma</t>
        </is>
      </c>
      <c r="F1" s="1" t="inlineStr">
        <is>
          <t>Empfohlene E-Mail</t>
        </is>
      </c>
      <c r="G1" s="1" t="inlineStr">
        <is>
          <t>Empfohlenes Telefon</t>
        </is>
      </c>
      <c r="H1" s="1" t="inlineStr">
        <is>
          <t>Branche/Gewerk</t>
        </is>
      </c>
      <c r="I1" s="1" t="inlineStr">
        <is>
          <t>Empfohlen am</t>
        </is>
      </c>
      <c r="J1" s="1" t="inlineStr">
        <is>
          <t>Status</t>
        </is>
      </c>
      <c r="K1" s="1" t="inlineStr">
        <is>
          <t>DW24-Auftragswert (€)</t>
        </is>
      </c>
      <c r="L1" s="1" t="inlineStr">
        <is>
          <t>Kunde bezahlt am</t>
        </is>
      </c>
      <c r="M1" s="1" t="inlineStr">
        <is>
          <t>Provision fällig</t>
        </is>
      </c>
      <c r="N1" s="1" t="inlineStr">
        <is>
          <t>Provision ausgezahlt</t>
        </is>
      </c>
      <c r="O1" s="1" t="inlineStr">
        <is>
          <t>Notizen</t>
        </is>
      </c>
    </row>
    <row r="2">
      <c r="A2" s="2" t="inlineStr">
        <is>
          <t>EMP-2026-001</t>
        </is>
      </c>
      <c r="B2" s="2" t="inlineStr">
        <is>
          <t>DW24-ANNA01</t>
        </is>
      </c>
      <c r="C2" s="2">
        <f>IFERROR(INDEX(Partner!B:B,MATCH(B2,Partner!F:F,0))&amp;" "&amp;INDEX(Partner!C:C,MATCH(B2,Partner!F:F,0)),"")</f>
        <v/>
      </c>
      <c r="D2" s="2" t="inlineStr">
        <is>
          <t>Max Maier</t>
        </is>
      </c>
      <c r="E2" s="2" t="inlineStr">
        <is>
          <t>Maier Elektrotechnik</t>
        </is>
      </c>
      <c r="F2" s="2" t="inlineStr">
        <is>
          <t>max@maier-elektro.de</t>
        </is>
      </c>
      <c r="G2" s="2" t="inlineStr">
        <is>
          <t>+49 171 9876543</t>
        </is>
      </c>
      <c r="H2" s="2" t="inlineStr">
        <is>
          <t>Elektriker</t>
        </is>
      </c>
      <c r="I2" s="2" t="inlineStr">
        <is>
          <t>05.03.2026</t>
        </is>
      </c>
      <c r="J2" s="2" t="inlineStr">
        <is>
          <t>Abgeschlossen</t>
        </is>
      </c>
      <c r="K2" s="3" t="n">
        <v>1490</v>
      </c>
      <c r="L2" s="2" t="inlineStr">
        <is>
          <t>15.03.2026</t>
        </is>
      </c>
      <c r="M2" s="2">
        <f>IF(L2&lt;&gt;"","Ja","Nein")</f>
        <v/>
      </c>
      <c r="N2" s="2" t="inlineStr">
        <is>
          <t>Nein</t>
        </is>
      </c>
      <c r="O2" s="2" t="n"/>
    </row>
  </sheetData>
  <conditionalFormatting sqref="J2:J1000">
    <cfRule type="cellIs" priority="1" operator="equal" dxfId="3">
      <formula>"Neu"</formula>
    </cfRule>
    <cfRule type="cellIs" priority="2" operator="equal" dxfId="1">
      <formula>"Kontaktiert"</formula>
    </cfRule>
    <cfRule type="cellIs" priority="3" operator="equal" dxfId="4">
      <formula>"Angebot gesendet"</formula>
    </cfRule>
    <cfRule type="cellIs" priority="4" operator="equal" dxfId="0">
      <formula>"Abgeschlossen"</formula>
    </cfRule>
    <cfRule type="cellIs" priority="5" operator="equal" dxfId="2">
      <formula>"Abgelehnt"</formula>
    </cfRule>
  </conditionalFormatting>
  <dataValidations count="2">
    <dataValidation sqref="J2:J1000" showDropDown="0" showInputMessage="0" showErrorMessage="0" allowBlank="0" type="list">
      <formula1>"Neu,Kontaktiert,Angebot gesendet,Abgeschlossen,Abgelehnt"</formula1>
    </dataValidation>
    <dataValidation sqref="N2:N100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18" customWidth="1" min="4" max="4"/>
    <col width="14" customWidth="1" min="5" max="5"/>
    <col width="20" customWidth="1" min="6" max="6"/>
    <col width="19" customWidth="1" min="7" max="7"/>
    <col width="22" customWidth="1" min="8" max="8"/>
    <col width="14" customWidth="1" min="9" max="9"/>
    <col width="30" customWidth="1" min="10" max="10"/>
  </cols>
  <sheetData>
    <row r="1">
      <c r="A1" s="1" t="inlineStr">
        <is>
          <t>Auszahlungs-ID</t>
        </is>
      </c>
      <c r="B1" s="1" t="inlineStr">
        <is>
          <t>Empfehlungscode</t>
        </is>
      </c>
      <c r="C1" s="1" t="inlineStr">
        <is>
          <t>Partner-Name</t>
        </is>
      </c>
      <c r="D1" s="1" t="inlineStr">
        <is>
          <t>Empfehlungs-ID</t>
        </is>
      </c>
      <c r="E1" s="1" t="inlineStr">
        <is>
          <t>Betrag (€)</t>
        </is>
      </c>
      <c r="F1" s="1" t="inlineStr">
        <is>
          <t>Auszahlungsdatum</t>
        </is>
      </c>
      <c r="G1" s="1" t="inlineStr">
        <is>
          <t>Zahlungsmethode</t>
        </is>
      </c>
      <c r="H1" s="1" t="inlineStr">
        <is>
          <t>Referenz/Buchungsnr.</t>
        </is>
      </c>
      <c r="I1" s="1" t="inlineStr">
        <is>
          <t>Status</t>
        </is>
      </c>
      <c r="J1" s="1" t="inlineStr">
        <is>
          <t>Notizen</t>
        </is>
      </c>
    </row>
    <row r="2">
      <c r="A2" s="2" t="inlineStr">
        <is>
          <t>AUS-2026-001</t>
        </is>
      </c>
      <c r="B2" s="2" t="inlineStr">
        <is>
          <t>DW24-ANNA01</t>
        </is>
      </c>
      <c r="C2" s="2">
        <f>IFERROR(INDEX(Partner!B:B,MATCH(B2,Partner!F:F,0))&amp;" "&amp;INDEX(Partner!C:C,MATCH(B2,Partner!F:F,0)),"")</f>
        <v/>
      </c>
      <c r="D2" s="2" t="inlineStr">
        <is>
          <t>EMP-2026-001</t>
        </is>
      </c>
      <c r="E2" s="3" t="n">
        <v>199</v>
      </c>
      <c r="F2" s="2" t="inlineStr">
        <is>
          <t>20.03.2026</t>
        </is>
      </c>
      <c r="G2" s="2" t="inlineStr">
        <is>
          <t>Überweisung</t>
        </is>
      </c>
      <c r="H2" s="2" t="inlineStr"/>
      <c r="I2" s="2" t="inlineStr">
        <is>
          <t>Offen</t>
        </is>
      </c>
      <c r="J2" s="2" t="n"/>
    </row>
  </sheetData>
  <conditionalFormatting sqref="I2:I1000">
    <cfRule type="cellIs" priority="1" operator="equal" dxfId="1">
      <formula>"Offen"</formula>
    </cfRule>
    <cfRule type="cellIs" priority="2" operator="equal" dxfId="3">
      <formula>"Angewiesen"</formula>
    </cfRule>
    <cfRule type="cellIs" priority="3" operator="equal" dxfId="0">
      <formula>"Bestätigt"</formula>
    </cfRule>
  </conditionalFormatting>
  <dataValidations count="2">
    <dataValidation sqref="G2:G1000" showDropDown="0" showInputMessage="0" showErrorMessage="0" allowBlank="1" type="list">
      <formula1>"Überweisung,PayPal"</formula1>
    </dataValidation>
    <dataValidation sqref="I2:I1000" showDropDown="0" showInputMessage="0" showErrorMessage="0" allowBlank="0" type="list">
      <formula1>"Offen,Angewiesen,Bestätigt"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4" t="inlineStr">
        <is>
          <t>📊 DW24 Empfehlungsprogramm – Dashboard</t>
        </is>
      </c>
    </row>
    <row r="3" ht="20" customHeight="1">
      <c r="A3" s="5" t="inlineStr">
        <is>
          <t>Aktive Partner</t>
        </is>
      </c>
      <c r="C3" s="5" t="inlineStr">
        <is>
          <t>Empfehlungen gesamt</t>
        </is>
      </c>
      <c r="E3" s="5" t="inlineStr">
        <is>
          <t>Davon abgeschlossen</t>
        </is>
      </c>
    </row>
    <row r="4" ht="45" customHeight="1">
      <c r="A4" s="6">
        <f>COUNTIF(Partner!G:G,"Aktiv")</f>
        <v/>
      </c>
      <c r="C4" s="6">
        <f>COUNTA(Empfehlungen!A:A)-1</f>
        <v/>
      </c>
      <c r="E4" s="6">
        <f>COUNTIF(Empfehlungen!J:J,"Abgeschlossen")</f>
        <v/>
      </c>
    </row>
    <row r="6" ht="20" customHeight="1">
      <c r="A6" s="5" t="inlineStr">
        <is>
          <t>Conversion-Rate</t>
        </is>
      </c>
      <c r="C6" s="5" t="inlineStr">
        <is>
          <t>Offene Provisionen (€)</t>
        </is>
      </c>
      <c r="E6" s="5" t="inlineStr">
        <is>
          <t>Ausgezahlt gesamt (€)</t>
        </is>
      </c>
    </row>
    <row r="7" ht="45" customHeight="1">
      <c r="A7" s="7">
        <f>IFERROR(COUNTIF(Empfehlungen!J:J,"Abgeschlossen")/(COUNTA(Empfehlungen!A:A)-1),0)</f>
        <v/>
      </c>
      <c r="C7" s="8">
        <f>COUNTIFS(Empfehlungen!M:M,"Ja",Empfehlungen!N:N,"Nein")*199</f>
        <v/>
      </c>
      <c r="E7" s="8">
        <f>SUM(Auszahlungen!E:E)</f>
        <v/>
      </c>
    </row>
    <row r="9" ht="20" customHeight="1">
      <c r="A9" s="5" t="inlineStr">
        <is>
          <t>Empfehlungen diesen Monat</t>
        </is>
      </c>
      <c r="C9" s="5" t="inlineStr">
        <is>
          <t>Neue Partner diesen Monat</t>
        </is>
      </c>
      <c r="E9" s="5" t="inlineStr">
        <is>
          <t>Umsatz diesen Monat (€)</t>
        </is>
      </c>
    </row>
    <row r="10" ht="45" customHeight="1">
      <c r="A10" s="6">
        <f>COUNTIFS(Empfehlungen!I:I,"&gt;="&amp;DATE(YEAR(TODAY()),MONTH(TODAY()),1),Empfehlungen!I:I,"&lt;="&amp;EOMONTH(TODAY(),0))</f>
        <v/>
      </c>
      <c r="C10" s="6">
        <f>COUNTIFS(Partner!H:H,"&gt;="&amp;DATE(YEAR(TODAY()),MONTH(TODAY()),1),Partner!H:H,"&lt;="&amp;EOMONTH(TODAY(),0))</f>
        <v/>
      </c>
      <c r="E10" s="8">
        <f>SUMPRODUCT((Empfehlungen!L:L&gt;=DATE(YEAR(TODAY()),MONTH(TODAY()),1))*(Empfehlungen!L:L&lt;=EOMONTH(TODAY(),0))*Empfehlungen!K:K)</f>
        <v/>
      </c>
    </row>
    <row r="12">
      <c r="A12" s="9" t="inlineStr">
        <is>
          <t>🏆 Top-5 Partner nach Empfehlungen</t>
        </is>
      </c>
    </row>
    <row r="13">
      <c r="A13" s="10" t="inlineStr">
        <is>
          <t>Rang</t>
        </is>
      </c>
      <c r="B13" s="10" t="inlineStr">
        <is>
          <t>Partner-Name</t>
        </is>
      </c>
      <c r="C13" s="10" t="inlineStr">
        <is>
          <t>Empfehlungscode</t>
        </is>
      </c>
      <c r="D13" s="10" t="inlineStr">
        <is>
          <t>Empfehlungen</t>
        </is>
      </c>
    </row>
    <row r="14">
      <c r="A14" s="11" t="n">
        <v>1</v>
      </c>
      <c r="B14" s="2">
        <f>IFERROR(INDEX(Partner!B:B,MATCH(LARGE(Partner!M:M,1),Partner!M:M,0))&amp;" "&amp;INDEX(Partner!C:C,MATCH(LARGE(Partner!M:M,1),Partner!M:M,0)),"-")</f>
        <v/>
      </c>
      <c r="C14" s="2">
        <f>IFERROR(INDEX(Partner!F:F,MATCH(LARGE(Partner!M:M,1),Partner!M:M,0)),"-")</f>
        <v/>
      </c>
      <c r="D14" s="12">
        <f>IFERROR(LARGE(Partner!M:M,1),"-")</f>
        <v/>
      </c>
    </row>
    <row r="15">
      <c r="A15" s="11" t="n">
        <v>2</v>
      </c>
      <c r="B15" s="2">
        <f>IFERROR(INDEX(Partner!B:B,MATCH(LARGE(Partner!M:M,2),Partner!M:M,0))&amp;" "&amp;INDEX(Partner!C:C,MATCH(LARGE(Partner!M:M,2),Partner!M:M,0)),"-")</f>
        <v/>
      </c>
      <c r="C15" s="2">
        <f>IFERROR(INDEX(Partner!F:F,MATCH(LARGE(Partner!M:M,2),Partner!M:M,0)),"-")</f>
        <v/>
      </c>
      <c r="D15" s="12">
        <f>IFERROR(LARGE(Partner!M:M,2),"-")</f>
        <v/>
      </c>
    </row>
    <row r="16">
      <c r="A16" s="11" t="n">
        <v>3</v>
      </c>
      <c r="B16" s="2">
        <f>IFERROR(INDEX(Partner!B:B,MATCH(LARGE(Partner!M:M,3),Partner!M:M,0))&amp;" "&amp;INDEX(Partner!C:C,MATCH(LARGE(Partner!M:M,3),Partner!M:M,0)),"-")</f>
        <v/>
      </c>
      <c r="C16" s="2">
        <f>IFERROR(INDEX(Partner!F:F,MATCH(LARGE(Partner!M:M,3),Partner!M:M,0)),"-")</f>
        <v/>
      </c>
      <c r="D16" s="12">
        <f>IFERROR(LARGE(Partner!M:M,3),"-")</f>
        <v/>
      </c>
    </row>
    <row r="17">
      <c r="A17" s="11" t="n">
        <v>4</v>
      </c>
      <c r="B17" s="2">
        <f>IFERROR(INDEX(Partner!B:B,MATCH(LARGE(Partner!M:M,4),Partner!M:M,0))&amp;" "&amp;INDEX(Partner!C:C,MATCH(LARGE(Partner!M:M,4),Partner!M:M,0)),"-")</f>
        <v/>
      </c>
      <c r="C17" s="2">
        <f>IFERROR(INDEX(Partner!F:F,MATCH(LARGE(Partner!M:M,4),Partner!M:M,0)),"-")</f>
        <v/>
      </c>
      <c r="D17" s="12">
        <f>IFERROR(LARGE(Partner!M:M,4),"-")</f>
        <v/>
      </c>
    </row>
    <row r="18">
      <c r="A18" s="11" t="n">
        <v>5</v>
      </c>
      <c r="B18" s="2">
        <f>IFERROR(INDEX(Partner!B:B,MATCH(LARGE(Partner!M:M,5),Partner!M:M,0))&amp;" "&amp;INDEX(Partner!C:C,MATCH(LARGE(Partner!M:M,5),Partner!M:M,0)),"-")</f>
        <v/>
      </c>
      <c r="C18" s="2">
        <f>IFERROR(INDEX(Partner!F:F,MATCH(LARGE(Partner!M:M,5),Partner!M:M,0)),"-")</f>
        <v/>
      </c>
      <c r="D18" s="12">
        <f>IFERROR(LARGE(Partner!M:M,5),"-")</f>
        <v/>
      </c>
    </row>
    <row r="20">
      <c r="A20" s="13" t="inlineStr">
        <is>
          <t>ℹ️ Alle Werte werden automatisch berechnet. Keine manuellen Eingaben auf diesem Blatt.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8C7"/>
  <mergeCells count="3">
    <mergeCell ref="A20:F20"/>
    <mergeCell ref="A12:D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2026-03-03T19:44:51Z</dcterms:created>
  <dcterms:modified xsi:type="dcterms:W3CDTF">2026-03-03T19:44:51Z</dcterms:modified>
</cp:coreProperties>
</file>